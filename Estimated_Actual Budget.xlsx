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f5e17302b5b0f83/Documents/2025_Fall/"/>
    </mc:Choice>
  </mc:AlternateContent>
  <xr:revisionPtr revIDLastSave="0" documentId="8_{F039A79B-D515-430F-B37D-E8D54615FD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dget vs Actu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1" l="1"/>
  <c r="D8" i="1"/>
  <c r="C48" i="1"/>
  <c r="C47" i="1"/>
  <c r="C46" i="1"/>
  <c r="D74" i="1"/>
  <c r="D75" i="1"/>
  <c r="D76" i="1"/>
  <c r="D77" i="1"/>
  <c r="D97" i="1"/>
  <c r="D109" i="1"/>
  <c r="D108" i="1"/>
  <c r="D107" i="1"/>
  <c r="D106" i="1"/>
  <c r="C128" i="1" l="1"/>
  <c r="B128" i="1"/>
  <c r="C122" i="1" l="1"/>
  <c r="C117" i="1" l="1"/>
  <c r="D110" i="1"/>
  <c r="C110" i="1"/>
  <c r="C104" i="1"/>
  <c r="C99" i="1"/>
  <c r="C95" i="1"/>
  <c r="C90" i="1"/>
  <c r="C82" i="1"/>
  <c r="C78" i="1"/>
  <c r="C71" i="1"/>
  <c r="C65" i="1"/>
  <c r="C58" i="1"/>
  <c r="C49" i="1"/>
  <c r="C43" i="1"/>
  <c r="C34" i="1"/>
  <c r="C25" i="1"/>
  <c r="C21" i="1"/>
  <c r="D125" i="1"/>
  <c r="D124" i="1"/>
  <c r="B117" i="1"/>
  <c r="B110" i="1"/>
  <c r="B104" i="1"/>
  <c r="B99" i="1"/>
  <c r="B95" i="1"/>
  <c r="B90" i="1"/>
  <c r="B82" i="1"/>
  <c r="B78" i="1"/>
  <c r="B71" i="1"/>
  <c r="B65" i="1"/>
  <c r="B58" i="1"/>
  <c r="B49" i="1"/>
  <c r="B43" i="1"/>
  <c r="B34" i="1"/>
  <c r="B25" i="1"/>
  <c r="B21" i="1"/>
  <c r="C131" i="1" l="1"/>
  <c r="B131" i="1"/>
  <c r="D63" i="1"/>
  <c r="D69" i="1"/>
  <c r="D70" i="1"/>
  <c r="D103" i="1" l="1"/>
  <c r="D102" i="1"/>
  <c r="D101" i="1"/>
  <c r="D127" i="1"/>
  <c r="D126" i="1"/>
  <c r="D121" i="1"/>
  <c r="D120" i="1"/>
  <c r="D119" i="1"/>
  <c r="D68" i="1"/>
  <c r="D116" i="1"/>
  <c r="D115" i="1"/>
  <c r="D114" i="1"/>
  <c r="D113" i="1"/>
  <c r="D112" i="1"/>
  <c r="D98" i="1"/>
  <c r="D99" i="1" s="1"/>
  <c r="D67" i="1"/>
  <c r="D94" i="1"/>
  <c r="D93" i="1"/>
  <c r="D92" i="1"/>
  <c r="D89" i="1"/>
  <c r="D88" i="1"/>
  <c r="D87" i="1"/>
  <c r="D86" i="1"/>
  <c r="D85" i="1"/>
  <c r="D84" i="1"/>
  <c r="D37" i="1"/>
  <c r="D36" i="1"/>
  <c r="D57" i="1"/>
  <c r="D56" i="1"/>
  <c r="D55" i="1"/>
  <c r="D54" i="1"/>
  <c r="D52" i="1"/>
  <c r="D53" i="1"/>
  <c r="D81" i="1"/>
  <c r="D80" i="1"/>
  <c r="D64" i="1"/>
  <c r="D62" i="1"/>
  <c r="D61" i="1"/>
  <c r="D38" i="1"/>
  <c r="D60" i="1"/>
  <c r="D51" i="1"/>
  <c r="D73" i="1"/>
  <c r="D78" i="1" s="1"/>
  <c r="D46" i="1"/>
  <c r="D45" i="1"/>
  <c r="D48" i="1"/>
  <c r="D47" i="1"/>
  <c r="D42" i="1"/>
  <c r="D41" i="1"/>
  <c r="D40" i="1"/>
  <c r="D39" i="1"/>
  <c r="D33" i="1"/>
  <c r="D32" i="1"/>
  <c r="D31" i="1"/>
  <c r="D30" i="1"/>
  <c r="D29" i="1"/>
  <c r="D28" i="1"/>
  <c r="D27" i="1"/>
  <c r="D24" i="1"/>
  <c r="D23" i="1"/>
  <c r="C11" i="1"/>
  <c r="D82" i="1" l="1"/>
  <c r="D122" i="1"/>
  <c r="D65" i="1"/>
  <c r="D90" i="1"/>
  <c r="D128" i="1"/>
  <c r="D71" i="1"/>
  <c r="D49" i="1"/>
  <c r="D21" i="1"/>
  <c r="D25" i="1"/>
  <c r="D117" i="1"/>
  <c r="D34" i="1"/>
  <c r="D43" i="1"/>
  <c r="D95" i="1"/>
  <c r="D104" i="1"/>
  <c r="D58" i="1"/>
  <c r="D11" i="1"/>
  <c r="C5" i="1"/>
  <c r="B11" i="1"/>
  <c r="D131" i="1" l="1"/>
  <c r="D5" i="1" s="1"/>
  <c r="B5" i="1"/>
</calcChain>
</file>

<file path=xl/sharedStrings.xml><?xml version="1.0" encoding="utf-8"?>
<sst xmlns="http://schemas.openxmlformats.org/spreadsheetml/2006/main" count="150" uniqueCount="130">
  <si>
    <r>
      <rPr>
        <b/>
        <sz val="14"/>
        <color rgb="FF00B050"/>
        <rFont val="Bookman Old Style"/>
        <family val="1"/>
      </rPr>
      <t>YOUR NAME HERE</t>
    </r>
    <r>
      <rPr>
        <b/>
        <sz val="14"/>
        <rFont val="Bookman Old Style"/>
        <family val="2"/>
      </rPr>
      <t xml:space="preserve"> CASH BUDGET</t>
    </r>
  </si>
  <si>
    <t>Estimated Budget</t>
  </si>
  <si>
    <t>Actual Income/Expense</t>
  </si>
  <si>
    <t>Difference</t>
  </si>
  <si>
    <t>CASH AVAILABLE (this should calculate to $0.00)</t>
  </si>
  <si>
    <t>Monthly Cash</t>
  </si>
  <si>
    <t>This cell is a calculation and should be $0</t>
  </si>
  <si>
    <t>INCOME TYPE</t>
  </si>
  <si>
    <t>Income 1</t>
  </si>
  <si>
    <t>Income 2</t>
  </si>
  <si>
    <t>Other Income</t>
  </si>
  <si>
    <t>TOTAL INCOME</t>
  </si>
  <si>
    <t>This cell is a CALCULATION</t>
  </si>
  <si>
    <t>EXPENSES</t>
  </si>
  <si>
    <t>Housing</t>
  </si>
  <si>
    <t>First Mortgage/Rent</t>
  </si>
  <si>
    <t>Second Mortgage</t>
  </si>
  <si>
    <t>Real Estate Taxes</t>
  </si>
  <si>
    <t>Home Repairs/Maintenance</t>
  </si>
  <si>
    <t>HOA Dues</t>
  </si>
  <si>
    <t>Homeowner's or Renter's Insurance</t>
  </si>
  <si>
    <t>Housing Subtotal</t>
  </si>
  <si>
    <t>Food</t>
  </si>
  <si>
    <t>Groceries</t>
  </si>
  <si>
    <t>Restauraunts</t>
  </si>
  <si>
    <t>Food Subtotal</t>
  </si>
  <si>
    <t>Utilities</t>
  </si>
  <si>
    <t>Electricity</t>
  </si>
  <si>
    <t>Gas</t>
  </si>
  <si>
    <t>Water</t>
  </si>
  <si>
    <t>Trash</t>
  </si>
  <si>
    <t>Phone/Mobile</t>
  </si>
  <si>
    <t>Internet</t>
  </si>
  <si>
    <t>Cable TV/Netflix/Hulu, etc.</t>
  </si>
  <si>
    <t>Utilities Subtotal</t>
  </si>
  <si>
    <t>Transportation</t>
  </si>
  <si>
    <t>Car Payment 1</t>
  </si>
  <si>
    <t>Car Payment 2</t>
  </si>
  <si>
    <t>Auto Insurance</t>
  </si>
  <si>
    <t>Gas &amp; Oil</t>
  </si>
  <si>
    <t>Auto Repairs &amp; Tires</t>
  </si>
  <si>
    <t>License &amp; Taxes</t>
  </si>
  <si>
    <t>Car Replacement Savings</t>
  </si>
  <si>
    <t>Transportation Subtotal</t>
  </si>
  <si>
    <t>Taxes</t>
  </si>
  <si>
    <t>Federal Income Tax</t>
  </si>
  <si>
    <t>State Income Tax</t>
  </si>
  <si>
    <t>Social Security Tax</t>
  </si>
  <si>
    <t>Medicare Tax</t>
  </si>
  <si>
    <t>Taxes Subtotal</t>
  </si>
  <si>
    <t xml:space="preserve">Healthcare </t>
  </si>
  <si>
    <t>Health Insurance - Medical, Dental, Vision</t>
  </si>
  <si>
    <t>Doctor Bills</t>
  </si>
  <si>
    <t>Medications - Prescriptions and OTC</t>
  </si>
  <si>
    <t>Dentist</t>
  </si>
  <si>
    <t>Optometrist</t>
  </si>
  <si>
    <t>Vitamins</t>
  </si>
  <si>
    <t>Other Medical Expenses</t>
  </si>
  <si>
    <t>Healthcare Subtotal</t>
  </si>
  <si>
    <t>Insurance</t>
  </si>
  <si>
    <t>Life Insurance</t>
  </si>
  <si>
    <t>Disability Insurance</t>
  </si>
  <si>
    <t>Identity Theft</t>
  </si>
  <si>
    <t>Liability Insurance (Umbrella)</t>
  </si>
  <si>
    <t>Long-Term Care</t>
  </si>
  <si>
    <t>Insurance Subtotal</t>
  </si>
  <si>
    <t>Children's Expenses</t>
  </si>
  <si>
    <t>Child Care/Sitter</t>
  </si>
  <si>
    <t>Baby Supplies</t>
  </si>
  <si>
    <t>Children's Educational Expenses</t>
  </si>
  <si>
    <t>Children's Extracurricular Activities</t>
  </si>
  <si>
    <t>Children Subtotal</t>
  </si>
  <si>
    <t>Clothing</t>
  </si>
  <si>
    <t>Adult Clothing</t>
  </si>
  <si>
    <t>Adult Shoes</t>
  </si>
  <si>
    <t>Children's Clothing</t>
  </si>
  <si>
    <t>Children's Shoes</t>
  </si>
  <si>
    <t>Dry Cleaning</t>
  </si>
  <si>
    <t>Clothing Subtotal</t>
  </si>
  <si>
    <t>Charity</t>
  </si>
  <si>
    <t>Charity - Religious</t>
  </si>
  <si>
    <t>Charity - Other</t>
  </si>
  <si>
    <t>Charity Subtotal</t>
  </si>
  <si>
    <t>Debt Service</t>
  </si>
  <si>
    <t>Credit Card 1</t>
  </si>
  <si>
    <t>Credit Card 2</t>
  </si>
  <si>
    <t>Student Loan 1</t>
  </si>
  <si>
    <t>Student Loan 2</t>
  </si>
  <si>
    <t>Other Monthly Debt</t>
  </si>
  <si>
    <t>Debt Service Subtotal</t>
  </si>
  <si>
    <t>Education Expenses</t>
  </si>
  <si>
    <t>Tuition</t>
  </si>
  <si>
    <t>Books</t>
  </si>
  <si>
    <t>Other Educational Fees</t>
  </si>
  <si>
    <t>Education Subtotal</t>
  </si>
  <si>
    <t>Personal Care</t>
  </si>
  <si>
    <t>Toiletries</t>
  </si>
  <si>
    <t>Cosmetics/Hair</t>
  </si>
  <si>
    <t>Personal Care Subtotal</t>
  </si>
  <si>
    <t>Retirement Savings</t>
  </si>
  <si>
    <t>401K</t>
  </si>
  <si>
    <t>IRA</t>
  </si>
  <si>
    <t>Other Retirement Savings</t>
  </si>
  <si>
    <t>Retirement Subtotal</t>
  </si>
  <si>
    <t>Other Savings</t>
  </si>
  <si>
    <t>Emergency Fund</t>
  </si>
  <si>
    <t>Replace Furniture</t>
  </si>
  <si>
    <t>Vacation Fund</t>
  </si>
  <si>
    <t>Other Savings Funds</t>
  </si>
  <si>
    <t>Savings Subtotal</t>
  </si>
  <si>
    <t>Other Expenses</t>
  </si>
  <si>
    <t>Child Support</t>
  </si>
  <si>
    <t>Alimony</t>
  </si>
  <si>
    <t>Subscriptions</t>
  </si>
  <si>
    <t>Organization Dues</t>
  </si>
  <si>
    <t>Gifts</t>
  </si>
  <si>
    <t>Other Expenses Subtotal</t>
  </si>
  <si>
    <t>Pets</t>
  </si>
  <si>
    <t>Pet Supplies</t>
  </si>
  <si>
    <t>Veterinarian Expenses</t>
  </si>
  <si>
    <t>Pet Food</t>
  </si>
  <si>
    <t>Pets Subtotal</t>
  </si>
  <si>
    <t xml:space="preserve">Entertainment </t>
  </si>
  <si>
    <t>Pocket Money</t>
  </si>
  <si>
    <t>Music/Technology</t>
  </si>
  <si>
    <t>Entertainment</t>
  </si>
  <si>
    <t>Vacation</t>
  </si>
  <si>
    <t>Entertainment Subtotal</t>
  </si>
  <si>
    <t>TOTAL EXPENSES</t>
  </si>
  <si>
    <t xml:space="preserve"> Budget vs Actual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</si>
</sst>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name val="Bookman Old Style"/>
      <family val="2"/>
    </font>
    <font>
      <b/>
      <sz val="12"/>
      <name val="Bookman Old Style"/>
      <family val="1"/>
    </font>
    <font>
      <sz val="11"/>
      <name val="Arial"/>
      <family val="2"/>
    </font>
    <font>
      <b/>
      <sz val="10.5"/>
      <name val="Bookman Old Style"/>
      <family val="1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rgb="FF00B050"/>
      <name val="Bookman Old Style"/>
      <family val="1"/>
    </font>
    <font>
      <b/>
      <sz val="14"/>
      <name val="Bookman Old Style"/>
      <family val="1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2" applyNumberFormat="0" applyAlignment="0" applyProtection="0"/>
    <xf numFmtId="0" fontId="5" fillId="3" borderId="2" applyNumberFormat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44" fontId="0" fillId="0" borderId="0" xfId="1" applyNumberFormat="1" applyFont="1"/>
    <xf numFmtId="44" fontId="5" fillId="3" borderId="2" xfId="5" applyNumberFormat="1"/>
    <xf numFmtId="44" fontId="4" fillId="2" borderId="2" xfId="4" applyNumberFormat="1"/>
    <xf numFmtId="0" fontId="8" fillId="0" borderId="0" xfId="6" applyFont="1" applyFill="1" applyBorder="1"/>
    <xf numFmtId="0" fontId="9" fillId="0" borderId="0" xfId="3" applyFont="1" applyFill="1" applyBorder="1" applyAlignment="1">
      <alignment vertical="center"/>
    </xf>
    <xf numFmtId="0" fontId="10" fillId="0" borderId="0" xfId="0" applyFont="1" applyAlignment="1">
      <alignment horizontal="left" vertical="center" indent="1"/>
    </xf>
    <xf numFmtId="0" fontId="11" fillId="0" borderId="0" xfId="0" applyFont="1"/>
    <xf numFmtId="0" fontId="10" fillId="0" borderId="0" xfId="0" applyFont="1" applyAlignment="1">
      <alignment vertical="center"/>
    </xf>
    <xf numFmtId="0" fontId="14" fillId="5" borderId="0" xfId="0" applyFont="1" applyFill="1" applyAlignment="1">
      <alignment horizontal="left" vertical="center" indent="1"/>
    </xf>
    <xf numFmtId="44" fontId="15" fillId="5" borderId="2" xfId="5" applyNumberFormat="1" applyFont="1" applyFill="1"/>
    <xf numFmtId="0" fontId="15" fillId="5" borderId="0" xfId="0" applyFont="1" applyFill="1"/>
    <xf numFmtId="44" fontId="4" fillId="0" borderId="0" xfId="4" applyNumberFormat="1" applyFill="1" applyBorder="1"/>
    <xf numFmtId="44" fontId="5" fillId="0" borderId="0" xfId="5" applyNumberFormat="1" applyFill="1" applyBorder="1"/>
    <xf numFmtId="0" fontId="9" fillId="0" borderId="0" xfId="3" applyFont="1" applyFill="1" applyBorder="1" applyAlignment="1">
      <alignment horizontal="left" vertical="center"/>
    </xf>
    <xf numFmtId="0" fontId="13" fillId="0" borderId="0" xfId="2" applyFont="1" applyFill="1" applyBorder="1" applyAlignment="1">
      <alignment horizontal="centerContinuous"/>
    </xf>
    <xf numFmtId="44" fontId="0" fillId="0" borderId="0" xfId="1" applyNumberFormat="1" applyFont="1" applyAlignment="1">
      <alignment horizontal="centerContinuous"/>
    </xf>
    <xf numFmtId="0" fontId="0" fillId="0" borderId="0" xfId="0" applyAlignment="1">
      <alignment horizontal="centerContinuous"/>
    </xf>
    <xf numFmtId="0" fontId="7" fillId="0" borderId="0" xfId="0" applyFont="1" applyAlignment="1">
      <alignment horizontal="centerContinuous"/>
    </xf>
    <xf numFmtId="0" fontId="9" fillId="5" borderId="0" xfId="3" applyFont="1" applyFill="1" applyBorder="1" applyAlignment="1">
      <alignment horizontal="right" vertical="center"/>
    </xf>
    <xf numFmtId="44" fontId="4" fillId="5" borderId="3" xfId="4" applyNumberFormat="1" applyFill="1" applyBorder="1"/>
    <xf numFmtId="44" fontId="5" fillId="5" borderId="3" xfId="5" applyNumberFormat="1" applyFill="1" applyBorder="1"/>
    <xf numFmtId="0" fontId="0" fillId="5" borderId="0" xfId="0" applyFill="1"/>
    <xf numFmtId="44" fontId="16" fillId="0" borderId="0" xfId="1" applyNumberFormat="1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0" xfId="0" applyFont="1"/>
  </cellXfs>
  <cellStyles count="7">
    <cellStyle name="20% - Accent1" xfId="6" builtinId="30"/>
    <cellStyle name="Calculation" xfId="5" builtinId="22"/>
    <cellStyle name="Comma" xfId="1" builtinId="3"/>
    <cellStyle name="Heading 1" xfId="3" builtinId="16"/>
    <cellStyle name="Input" xfId="4" builtinId="20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zoomScale="86" workbookViewId="0">
      <selection activeCell="C24" sqref="C24"/>
    </sheetView>
  </sheetViews>
  <sheetFormatPr defaultRowHeight="14.4" x14ac:dyDescent="0.3"/>
  <cols>
    <col min="1" max="1" width="52" style="8" bestFit="1" customWidth="1"/>
    <col min="2" max="2" width="12.44140625" style="1" customWidth="1"/>
    <col min="3" max="3" width="16.88671875" customWidth="1"/>
    <col min="4" max="4" width="11.33203125" bestFit="1" customWidth="1"/>
  </cols>
  <sheetData>
    <row r="1" spans="1:6" ht="18" x14ac:dyDescent="0.35">
      <c r="A1" s="15" t="s">
        <v>0</v>
      </c>
      <c r="B1" s="16"/>
      <c r="C1" s="17"/>
      <c r="D1" s="17"/>
    </row>
    <row r="2" spans="1:6" ht="15.6" x14ac:dyDescent="0.3">
      <c r="A2" s="18" t="s">
        <v>129</v>
      </c>
      <c r="B2" s="16"/>
      <c r="C2" s="17"/>
      <c r="D2" s="17"/>
    </row>
    <row r="3" spans="1:6" ht="28.8" x14ac:dyDescent="0.3">
      <c r="A3" s="4"/>
      <c r="B3" s="23" t="s">
        <v>1</v>
      </c>
      <c r="C3" s="24" t="s">
        <v>2</v>
      </c>
      <c r="D3" s="25" t="s">
        <v>3</v>
      </c>
    </row>
    <row r="4" spans="1:6" x14ac:dyDescent="0.3">
      <c r="A4" s="5" t="s">
        <v>4</v>
      </c>
    </row>
    <row r="5" spans="1:6" s="11" customFormat="1" x14ac:dyDescent="0.3">
      <c r="A5" s="9" t="s">
        <v>5</v>
      </c>
      <c r="B5" s="10">
        <f>B11-B131</f>
        <v>0</v>
      </c>
      <c r="C5" s="10">
        <f>C11-C131</f>
        <v>0</v>
      </c>
      <c r="D5" s="10">
        <f>D11-D131</f>
        <v>0</v>
      </c>
      <c r="F5" s="11" t="s">
        <v>6</v>
      </c>
    </row>
    <row r="6" spans="1:6" x14ac:dyDescent="0.3">
      <c r="A6" s="4"/>
      <c r="C6" s="1"/>
      <c r="D6" s="1"/>
    </row>
    <row r="7" spans="1:6" x14ac:dyDescent="0.3">
      <c r="A7" s="5" t="s">
        <v>7</v>
      </c>
      <c r="C7" s="1"/>
      <c r="D7" s="1"/>
    </row>
    <row r="8" spans="1:6" x14ac:dyDescent="0.3">
      <c r="A8" s="6" t="s">
        <v>8</v>
      </c>
      <c r="B8" s="3">
        <v>2100</v>
      </c>
      <c r="C8" s="3">
        <v>1997.75</v>
      </c>
      <c r="D8" s="2">
        <f>C8-B8</f>
        <v>-102.25</v>
      </c>
    </row>
    <row r="9" spans="1:6" x14ac:dyDescent="0.3">
      <c r="A9" s="6" t="s">
        <v>9</v>
      </c>
      <c r="B9" s="3">
        <v>400</v>
      </c>
      <c r="C9">
        <v>805.51</v>
      </c>
      <c r="D9" s="2">
        <f>C9-B9</f>
        <v>405.51</v>
      </c>
    </row>
    <row r="10" spans="1:6" x14ac:dyDescent="0.3">
      <c r="A10" s="6" t="s">
        <v>10</v>
      </c>
      <c r="B10" s="3">
        <v>0</v>
      </c>
      <c r="D10" s="2"/>
    </row>
    <row r="11" spans="1:6" s="11" customFormat="1" x14ac:dyDescent="0.3">
      <c r="A11" s="9" t="s">
        <v>11</v>
      </c>
      <c r="B11" s="10">
        <f>SUM(B8:B10)</f>
        <v>2500</v>
      </c>
      <c r="C11" s="10">
        <f>SUM(C8:C9)</f>
        <v>2803.26</v>
      </c>
      <c r="D11" s="10">
        <f>SUM(D8:D10)</f>
        <v>303.26</v>
      </c>
      <c r="F11" s="11" t="s">
        <v>12</v>
      </c>
    </row>
    <row r="12" spans="1:6" x14ac:dyDescent="0.3">
      <c r="A12" s="7"/>
      <c r="C12" s="1"/>
      <c r="D12" s="1"/>
    </row>
    <row r="13" spans="1:6" x14ac:dyDescent="0.3">
      <c r="A13" s="5" t="s">
        <v>13</v>
      </c>
      <c r="C13" s="1"/>
      <c r="D13" s="1"/>
    </row>
    <row r="14" spans="1:6" x14ac:dyDescent="0.3">
      <c r="A14" s="5" t="s">
        <v>14</v>
      </c>
      <c r="C14" s="1"/>
      <c r="D14" s="1"/>
    </row>
    <row r="15" spans="1:6" x14ac:dyDescent="0.3">
      <c r="A15" s="6" t="s">
        <v>15</v>
      </c>
      <c r="B15" s="3">
        <v>0</v>
      </c>
      <c r="C15" s="3">
        <v>0</v>
      </c>
      <c r="D15" s="2">
        <v>0</v>
      </c>
    </row>
    <row r="16" spans="1:6" x14ac:dyDescent="0.3">
      <c r="A16" s="6" t="s">
        <v>16</v>
      </c>
      <c r="B16" s="3">
        <v>0</v>
      </c>
      <c r="C16" s="3">
        <v>0</v>
      </c>
      <c r="D16" s="2">
        <v>0</v>
      </c>
    </row>
    <row r="17" spans="1:8" x14ac:dyDescent="0.3">
      <c r="A17" s="6" t="s">
        <v>17</v>
      </c>
      <c r="B17" s="3">
        <v>0</v>
      </c>
      <c r="C17" s="3">
        <v>0</v>
      </c>
      <c r="D17" s="2">
        <v>0</v>
      </c>
    </row>
    <row r="18" spans="1:8" x14ac:dyDescent="0.3">
      <c r="A18" s="6" t="s">
        <v>18</v>
      </c>
      <c r="B18" s="3">
        <v>0</v>
      </c>
      <c r="C18" s="3">
        <v>0</v>
      </c>
      <c r="D18" s="2">
        <v>0</v>
      </c>
    </row>
    <row r="19" spans="1:8" x14ac:dyDescent="0.3">
      <c r="A19" s="6" t="s">
        <v>19</v>
      </c>
      <c r="B19" s="3">
        <v>0</v>
      </c>
      <c r="C19" s="3">
        <v>0</v>
      </c>
      <c r="D19" s="2">
        <v>0</v>
      </c>
    </row>
    <row r="20" spans="1:8" ht="15" thickBot="1" x14ac:dyDescent="0.35">
      <c r="A20" s="6" t="s">
        <v>20</v>
      </c>
      <c r="B20" s="3">
        <v>0</v>
      </c>
      <c r="C20" s="3">
        <v>0</v>
      </c>
      <c r="D20" s="2">
        <v>0</v>
      </c>
    </row>
    <row r="21" spans="1:8" s="22" customFormat="1" ht="15" thickBot="1" x14ac:dyDescent="0.35">
      <c r="A21" s="19" t="s">
        <v>21</v>
      </c>
      <c r="B21" s="20">
        <f>SUM(B15:B20)</f>
        <v>0</v>
      </c>
      <c r="C21" s="20">
        <f>SUM(C15:C20)</f>
        <v>0</v>
      </c>
      <c r="D21" s="21">
        <f>SUM(D15:D20)</f>
        <v>0</v>
      </c>
      <c r="F21" s="11" t="s">
        <v>12</v>
      </c>
      <c r="G21" s="11"/>
      <c r="H21" s="11"/>
    </row>
    <row r="22" spans="1:8" x14ac:dyDescent="0.3">
      <c r="A22" s="5" t="s">
        <v>22</v>
      </c>
      <c r="B22" s="12"/>
      <c r="C22" s="12"/>
      <c r="D22" s="13"/>
    </row>
    <row r="23" spans="1:8" x14ac:dyDescent="0.3">
      <c r="A23" s="6" t="s">
        <v>23</v>
      </c>
      <c r="B23" s="3">
        <v>375</v>
      </c>
      <c r="C23" s="3">
        <v>185.5</v>
      </c>
      <c r="D23" s="2">
        <f t="shared" ref="D23:D121" si="0">C23-B23</f>
        <v>-189.5</v>
      </c>
    </row>
    <row r="24" spans="1:8" ht="15" thickBot="1" x14ac:dyDescent="0.35">
      <c r="A24" s="6" t="s">
        <v>24</v>
      </c>
      <c r="B24" s="3">
        <v>300</v>
      </c>
      <c r="C24" s="3">
        <v>486.5</v>
      </c>
      <c r="D24" s="2">
        <f t="shared" si="0"/>
        <v>186.5</v>
      </c>
    </row>
    <row r="25" spans="1:8" s="22" customFormat="1" ht="15" thickBot="1" x14ac:dyDescent="0.35">
      <c r="A25" s="19" t="s">
        <v>25</v>
      </c>
      <c r="B25" s="20">
        <f>SUM(B23:B24)</f>
        <v>675</v>
      </c>
      <c r="C25" s="20">
        <f>SUM(C23:C24)</f>
        <v>672</v>
      </c>
      <c r="D25" s="21">
        <f>SUM(D23:D24)</f>
        <v>-3</v>
      </c>
      <c r="F25" s="11" t="s">
        <v>12</v>
      </c>
      <c r="G25" s="11"/>
      <c r="H25" s="11"/>
    </row>
    <row r="26" spans="1:8" x14ac:dyDescent="0.3">
      <c r="A26" s="5" t="s">
        <v>26</v>
      </c>
      <c r="B26" s="12"/>
      <c r="C26" s="12"/>
      <c r="D26" s="13"/>
    </row>
    <row r="27" spans="1:8" x14ac:dyDescent="0.3">
      <c r="A27" s="6" t="s">
        <v>27</v>
      </c>
      <c r="B27" s="3">
        <v>0</v>
      </c>
      <c r="C27" s="3"/>
      <c r="D27" s="2">
        <f t="shared" si="0"/>
        <v>0</v>
      </c>
    </row>
    <row r="28" spans="1:8" x14ac:dyDescent="0.3">
      <c r="A28" s="6" t="s">
        <v>28</v>
      </c>
      <c r="B28" s="3">
        <v>0</v>
      </c>
      <c r="C28" s="3"/>
      <c r="D28" s="2">
        <f t="shared" si="0"/>
        <v>0</v>
      </c>
    </row>
    <row r="29" spans="1:8" x14ac:dyDescent="0.3">
      <c r="A29" s="6" t="s">
        <v>29</v>
      </c>
      <c r="B29" s="3">
        <v>0</v>
      </c>
      <c r="C29" s="3"/>
      <c r="D29" s="2">
        <f t="shared" si="0"/>
        <v>0</v>
      </c>
    </row>
    <row r="30" spans="1:8" x14ac:dyDescent="0.3">
      <c r="A30" s="6" t="s">
        <v>30</v>
      </c>
      <c r="B30" s="3">
        <v>0</v>
      </c>
      <c r="C30" s="3"/>
      <c r="D30" s="2">
        <f t="shared" si="0"/>
        <v>0</v>
      </c>
    </row>
    <row r="31" spans="1:8" x14ac:dyDescent="0.3">
      <c r="A31" s="6" t="s">
        <v>31</v>
      </c>
      <c r="B31" s="3">
        <v>50</v>
      </c>
      <c r="C31" s="3">
        <v>50</v>
      </c>
      <c r="D31" s="2">
        <f t="shared" si="0"/>
        <v>0</v>
      </c>
    </row>
    <row r="32" spans="1:8" x14ac:dyDescent="0.3">
      <c r="A32" s="6" t="s">
        <v>32</v>
      </c>
      <c r="B32" s="3">
        <v>0</v>
      </c>
      <c r="C32" s="3">
        <v>30</v>
      </c>
      <c r="D32" s="2">
        <f t="shared" si="0"/>
        <v>30</v>
      </c>
    </row>
    <row r="33" spans="1:8" ht="15" thickBot="1" x14ac:dyDescent="0.35">
      <c r="A33" s="6" t="s">
        <v>33</v>
      </c>
      <c r="B33" s="3">
        <v>70</v>
      </c>
      <c r="C33" s="3">
        <v>26</v>
      </c>
      <c r="D33" s="2">
        <f t="shared" si="0"/>
        <v>-44</v>
      </c>
    </row>
    <row r="34" spans="1:8" s="22" customFormat="1" ht="15" thickBot="1" x14ac:dyDescent="0.35">
      <c r="A34" s="19" t="s">
        <v>34</v>
      </c>
      <c r="B34" s="20">
        <f>SUM(B27:B33)</f>
        <v>120</v>
      </c>
      <c r="C34" s="20">
        <f>SUM(C27:C33)</f>
        <v>106</v>
      </c>
      <c r="D34" s="21">
        <f>SUM(D27:D33)</f>
        <v>-14</v>
      </c>
      <c r="F34" s="11" t="s">
        <v>12</v>
      </c>
      <c r="G34" s="11"/>
      <c r="H34" s="11"/>
    </row>
    <row r="35" spans="1:8" x14ac:dyDescent="0.3">
      <c r="A35" s="5" t="s">
        <v>35</v>
      </c>
      <c r="B35" s="12"/>
      <c r="C35" s="12"/>
      <c r="D35" s="13"/>
    </row>
    <row r="36" spans="1:8" x14ac:dyDescent="0.3">
      <c r="A36" s="6" t="s">
        <v>36</v>
      </c>
      <c r="B36" s="3">
        <v>250</v>
      </c>
      <c r="C36" s="3">
        <v>250</v>
      </c>
      <c r="D36" s="2">
        <f>C36-B36</f>
        <v>0</v>
      </c>
    </row>
    <row r="37" spans="1:8" x14ac:dyDescent="0.3">
      <c r="A37" s="6" t="s">
        <v>37</v>
      </c>
      <c r="B37" s="3">
        <v>0</v>
      </c>
      <c r="C37" s="3"/>
      <c r="D37" s="2">
        <f>C37-B37</f>
        <v>0</v>
      </c>
    </row>
    <row r="38" spans="1:8" x14ac:dyDescent="0.3">
      <c r="A38" s="6" t="s">
        <v>38</v>
      </c>
      <c r="B38" s="3">
        <v>120</v>
      </c>
      <c r="C38" s="3">
        <v>120</v>
      </c>
      <c r="D38" s="2">
        <f>C38-B38</f>
        <v>0</v>
      </c>
    </row>
    <row r="39" spans="1:8" x14ac:dyDescent="0.3">
      <c r="A39" s="6" t="s">
        <v>39</v>
      </c>
      <c r="B39" s="3">
        <v>150</v>
      </c>
      <c r="C39" s="3">
        <v>167</v>
      </c>
      <c r="D39" s="2">
        <f t="shared" si="0"/>
        <v>17</v>
      </c>
    </row>
    <row r="40" spans="1:8" x14ac:dyDescent="0.3">
      <c r="A40" s="6" t="s">
        <v>40</v>
      </c>
      <c r="B40" s="3">
        <v>0</v>
      </c>
      <c r="C40" s="3">
        <v>25</v>
      </c>
      <c r="D40" s="2">
        <f t="shared" si="0"/>
        <v>25</v>
      </c>
    </row>
    <row r="41" spans="1:8" x14ac:dyDescent="0.3">
      <c r="A41" s="6" t="s">
        <v>41</v>
      </c>
      <c r="B41" s="3">
        <v>0</v>
      </c>
      <c r="C41" s="3"/>
      <c r="D41" s="2">
        <f t="shared" si="0"/>
        <v>0</v>
      </c>
    </row>
    <row r="42" spans="1:8" ht="15" thickBot="1" x14ac:dyDescent="0.35">
      <c r="A42" s="6" t="s">
        <v>42</v>
      </c>
      <c r="B42" s="3">
        <v>0</v>
      </c>
      <c r="C42" s="3"/>
      <c r="D42" s="2">
        <f t="shared" si="0"/>
        <v>0</v>
      </c>
    </row>
    <row r="43" spans="1:8" s="22" customFormat="1" ht="15" thickBot="1" x14ac:dyDescent="0.35">
      <c r="A43" s="19" t="s">
        <v>43</v>
      </c>
      <c r="B43" s="20">
        <f>SUM(B36:B42)</f>
        <v>520</v>
      </c>
      <c r="C43" s="20">
        <f>SUM(C36:C42)</f>
        <v>562</v>
      </c>
      <c r="D43" s="21">
        <f>SUM(D36:D42)</f>
        <v>42</v>
      </c>
      <c r="F43" s="11" t="s">
        <v>12</v>
      </c>
      <c r="G43" s="11"/>
      <c r="H43" s="11"/>
    </row>
    <row r="44" spans="1:8" x14ac:dyDescent="0.3">
      <c r="A44" s="5" t="s">
        <v>44</v>
      </c>
      <c r="B44" s="12"/>
      <c r="C44" s="12"/>
      <c r="D44" s="13"/>
    </row>
    <row r="45" spans="1:8" x14ac:dyDescent="0.3">
      <c r="A45" s="6" t="s">
        <v>45</v>
      </c>
      <c r="B45" s="3">
        <v>50</v>
      </c>
      <c r="C45" s="3">
        <v>126.73</v>
      </c>
      <c r="D45" s="2">
        <f>C45-B45</f>
        <v>76.73</v>
      </c>
    </row>
    <row r="46" spans="1:8" x14ac:dyDescent="0.3">
      <c r="A46" s="6" t="s">
        <v>46</v>
      </c>
      <c r="B46" s="3">
        <v>50</v>
      </c>
      <c r="C46" s="3">
        <f>(56.99+30.82)</f>
        <v>87.81</v>
      </c>
      <c r="D46" s="2">
        <f>C46-B46</f>
        <v>37.81</v>
      </c>
    </row>
    <row r="47" spans="1:8" x14ac:dyDescent="0.3">
      <c r="A47" s="6" t="s">
        <v>47</v>
      </c>
      <c r="B47" s="3">
        <v>100</v>
      </c>
      <c r="C47" s="3">
        <f>(78.06+45.8)</f>
        <v>123.86</v>
      </c>
      <c r="D47" s="2">
        <f t="shared" si="0"/>
        <v>23.86</v>
      </c>
    </row>
    <row r="48" spans="1:8" ht="15" thickBot="1" x14ac:dyDescent="0.35">
      <c r="A48" s="6" t="s">
        <v>48</v>
      </c>
      <c r="B48" s="3">
        <v>150</v>
      </c>
      <c r="C48" s="3">
        <f>(10.71+18.26)</f>
        <v>28.970000000000002</v>
      </c>
      <c r="D48" s="2">
        <f t="shared" si="0"/>
        <v>-121.03</v>
      </c>
    </row>
    <row r="49" spans="1:8" s="22" customFormat="1" ht="15" thickBot="1" x14ac:dyDescent="0.35">
      <c r="A49" s="19" t="s">
        <v>49</v>
      </c>
      <c r="B49" s="20">
        <f>SUM(B45:B48)</f>
        <v>350</v>
      </c>
      <c r="C49" s="20">
        <f>SUM(C45:C48)</f>
        <v>367.37000000000006</v>
      </c>
      <c r="D49" s="21">
        <f>SUM(D45:D48)</f>
        <v>17.370000000000005</v>
      </c>
      <c r="F49" s="11" t="s">
        <v>12</v>
      </c>
      <c r="G49" s="11"/>
      <c r="H49" s="11"/>
    </row>
    <row r="50" spans="1:8" x14ac:dyDescent="0.3">
      <c r="A50" s="5" t="s">
        <v>50</v>
      </c>
      <c r="B50" s="12"/>
      <c r="C50" s="12"/>
      <c r="D50" s="13"/>
    </row>
    <row r="51" spans="1:8" x14ac:dyDescent="0.3">
      <c r="A51" s="6" t="s">
        <v>51</v>
      </c>
      <c r="B51" s="3">
        <v>50</v>
      </c>
      <c r="C51" s="3">
        <v>65</v>
      </c>
      <c r="D51" s="2">
        <f t="shared" ref="D51:D57" si="1">C51-B51</f>
        <v>15</v>
      </c>
    </row>
    <row r="52" spans="1:8" x14ac:dyDescent="0.3">
      <c r="A52" s="6" t="s">
        <v>52</v>
      </c>
      <c r="B52" s="3">
        <v>0</v>
      </c>
      <c r="C52" s="3"/>
      <c r="D52" s="2">
        <f t="shared" si="1"/>
        <v>0</v>
      </c>
    </row>
    <row r="53" spans="1:8" x14ac:dyDescent="0.3">
      <c r="A53" s="6" t="s">
        <v>53</v>
      </c>
      <c r="B53" s="3">
        <v>100</v>
      </c>
      <c r="C53" s="3">
        <v>116.22</v>
      </c>
      <c r="D53" s="2">
        <f t="shared" si="1"/>
        <v>16.22</v>
      </c>
    </row>
    <row r="54" spans="1:8" x14ac:dyDescent="0.3">
      <c r="A54" s="6" t="s">
        <v>54</v>
      </c>
      <c r="B54" s="3">
        <v>0</v>
      </c>
      <c r="C54" s="3"/>
      <c r="D54" s="2">
        <f t="shared" si="1"/>
        <v>0</v>
      </c>
    </row>
    <row r="55" spans="1:8" x14ac:dyDescent="0.3">
      <c r="A55" s="6" t="s">
        <v>55</v>
      </c>
      <c r="B55" s="3">
        <v>0</v>
      </c>
      <c r="C55" s="3"/>
      <c r="D55" s="2">
        <f t="shared" si="1"/>
        <v>0</v>
      </c>
    </row>
    <row r="56" spans="1:8" x14ac:dyDescent="0.3">
      <c r="A56" s="6" t="s">
        <v>56</v>
      </c>
      <c r="B56" s="3">
        <v>0</v>
      </c>
      <c r="C56" s="3"/>
      <c r="D56" s="2">
        <f t="shared" si="1"/>
        <v>0</v>
      </c>
    </row>
    <row r="57" spans="1:8" ht="15" thickBot="1" x14ac:dyDescent="0.35">
      <c r="A57" s="6" t="s">
        <v>57</v>
      </c>
      <c r="B57" s="3">
        <v>0</v>
      </c>
      <c r="C57" s="3">
        <v>27.07</v>
      </c>
      <c r="D57" s="2">
        <f t="shared" si="1"/>
        <v>27.07</v>
      </c>
    </row>
    <row r="58" spans="1:8" s="22" customFormat="1" ht="15" thickBot="1" x14ac:dyDescent="0.35">
      <c r="A58" s="19" t="s">
        <v>58</v>
      </c>
      <c r="B58" s="20">
        <f>SUM(B51:B57)</f>
        <v>150</v>
      </c>
      <c r="C58" s="20">
        <f>SUM(C51:C57)</f>
        <v>208.29</v>
      </c>
      <c r="D58" s="21">
        <f>SUM(D51:D57)</f>
        <v>58.29</v>
      </c>
      <c r="F58" s="11" t="s">
        <v>12</v>
      </c>
      <c r="G58" s="11"/>
      <c r="H58" s="11"/>
    </row>
    <row r="59" spans="1:8" x14ac:dyDescent="0.3">
      <c r="A59" s="14" t="s">
        <v>59</v>
      </c>
      <c r="B59" s="12"/>
      <c r="C59" s="12"/>
      <c r="D59" s="13"/>
    </row>
    <row r="60" spans="1:8" x14ac:dyDescent="0.3">
      <c r="A60" s="6" t="s">
        <v>60</v>
      </c>
      <c r="B60" s="3">
        <v>0</v>
      </c>
      <c r="C60" s="3"/>
      <c r="D60" s="2">
        <f>C60-B60</f>
        <v>0</v>
      </c>
    </row>
    <row r="61" spans="1:8" x14ac:dyDescent="0.3">
      <c r="A61" s="6" t="s">
        <v>61</v>
      </c>
      <c r="B61" s="3">
        <v>0</v>
      </c>
      <c r="C61" s="3"/>
      <c r="D61" s="2">
        <f>C61-B61</f>
        <v>0</v>
      </c>
    </row>
    <row r="62" spans="1:8" x14ac:dyDescent="0.3">
      <c r="A62" s="6" t="s">
        <v>62</v>
      </c>
      <c r="B62" s="3">
        <v>0</v>
      </c>
      <c r="C62" s="3"/>
      <c r="D62" s="2">
        <f>C62-B62</f>
        <v>0</v>
      </c>
    </row>
    <row r="63" spans="1:8" x14ac:dyDescent="0.3">
      <c r="A63" s="6" t="s">
        <v>63</v>
      </c>
      <c r="B63" s="3">
        <v>0</v>
      </c>
      <c r="C63" s="3"/>
      <c r="D63" s="2">
        <f>C63-B63</f>
        <v>0</v>
      </c>
    </row>
    <row r="64" spans="1:8" ht="15" thickBot="1" x14ac:dyDescent="0.35">
      <c r="A64" s="6" t="s">
        <v>64</v>
      </c>
      <c r="B64" s="3">
        <v>0</v>
      </c>
      <c r="C64" s="3"/>
      <c r="D64" s="2">
        <f>C64-B64</f>
        <v>0</v>
      </c>
    </row>
    <row r="65" spans="1:8" s="22" customFormat="1" ht="15" thickBot="1" x14ac:dyDescent="0.35">
      <c r="A65" s="19" t="s">
        <v>65</v>
      </c>
      <c r="B65" s="20">
        <f>SUM(B60:B64)</f>
        <v>0</v>
      </c>
      <c r="C65" s="20">
        <f>SUM(C60:C64)</f>
        <v>0</v>
      </c>
      <c r="D65" s="21">
        <f>SUM(D60:D64)</f>
        <v>0</v>
      </c>
      <c r="F65" s="11" t="s">
        <v>12</v>
      </c>
      <c r="G65" s="11"/>
      <c r="H65" s="11"/>
    </row>
    <row r="66" spans="1:8" x14ac:dyDescent="0.3">
      <c r="A66" s="14" t="s">
        <v>66</v>
      </c>
      <c r="B66" s="12"/>
      <c r="C66" s="12"/>
      <c r="D66" s="13"/>
    </row>
    <row r="67" spans="1:8" x14ac:dyDescent="0.3">
      <c r="A67" s="6" t="s">
        <v>67</v>
      </c>
      <c r="B67" s="3">
        <v>0</v>
      </c>
      <c r="C67" s="3"/>
      <c r="D67" s="2">
        <f>C67-B67</f>
        <v>0</v>
      </c>
    </row>
    <row r="68" spans="1:8" x14ac:dyDescent="0.3">
      <c r="A68" s="6" t="s">
        <v>68</v>
      </c>
      <c r="B68" s="3">
        <v>0</v>
      </c>
      <c r="C68" s="3"/>
      <c r="D68" s="2">
        <f>C68-B68</f>
        <v>0</v>
      </c>
    </row>
    <row r="69" spans="1:8" x14ac:dyDescent="0.3">
      <c r="A69" s="6" t="s">
        <v>69</v>
      </c>
      <c r="B69" s="3">
        <v>0</v>
      </c>
      <c r="C69" s="3"/>
      <c r="D69" s="2">
        <f t="shared" ref="D69:D70" si="2">C69-B69</f>
        <v>0</v>
      </c>
    </row>
    <row r="70" spans="1:8" ht="15" thickBot="1" x14ac:dyDescent="0.35">
      <c r="A70" s="6" t="s">
        <v>70</v>
      </c>
      <c r="B70" s="3">
        <v>0</v>
      </c>
      <c r="C70" s="3"/>
      <c r="D70" s="2">
        <f t="shared" si="2"/>
        <v>0</v>
      </c>
    </row>
    <row r="71" spans="1:8" s="22" customFormat="1" ht="15" thickBot="1" x14ac:dyDescent="0.35">
      <c r="A71" s="19" t="s">
        <v>71</v>
      </c>
      <c r="B71" s="20">
        <f>SUM(B67:B70)</f>
        <v>0</v>
      </c>
      <c r="C71" s="20">
        <f>SUM(C67:C70)</f>
        <v>0</v>
      </c>
      <c r="D71" s="21">
        <f>SUM(D67:D70)</f>
        <v>0</v>
      </c>
      <c r="F71" s="11" t="s">
        <v>12</v>
      </c>
      <c r="G71" s="11"/>
      <c r="H71" s="11"/>
    </row>
    <row r="72" spans="1:8" x14ac:dyDescent="0.3">
      <c r="A72" s="14" t="s">
        <v>72</v>
      </c>
      <c r="B72" s="12"/>
      <c r="C72" s="12"/>
      <c r="D72" s="13"/>
    </row>
    <row r="73" spans="1:8" x14ac:dyDescent="0.3">
      <c r="A73" s="6" t="s">
        <v>73</v>
      </c>
      <c r="B73" s="3">
        <v>80</v>
      </c>
      <c r="C73" s="3">
        <v>100</v>
      </c>
      <c r="D73" s="2">
        <f t="shared" si="0"/>
        <v>20</v>
      </c>
    </row>
    <row r="74" spans="1:8" x14ac:dyDescent="0.3">
      <c r="A74" s="6" t="s">
        <v>74</v>
      </c>
      <c r="B74" s="3">
        <v>50</v>
      </c>
      <c r="C74" s="3">
        <v>100</v>
      </c>
      <c r="D74" s="2">
        <f t="shared" si="0"/>
        <v>50</v>
      </c>
    </row>
    <row r="75" spans="1:8" x14ac:dyDescent="0.3">
      <c r="A75" s="6" t="s">
        <v>75</v>
      </c>
      <c r="B75" s="3">
        <v>0</v>
      </c>
      <c r="C75" s="3"/>
      <c r="D75" s="2">
        <f t="shared" si="0"/>
        <v>0</v>
      </c>
    </row>
    <row r="76" spans="1:8" x14ac:dyDescent="0.3">
      <c r="A76" s="6" t="s">
        <v>76</v>
      </c>
      <c r="B76" s="3">
        <v>0</v>
      </c>
      <c r="C76" s="3"/>
      <c r="D76" s="2">
        <f t="shared" si="0"/>
        <v>0</v>
      </c>
    </row>
    <row r="77" spans="1:8" ht="15" thickBot="1" x14ac:dyDescent="0.35">
      <c r="A77" s="6" t="s">
        <v>77</v>
      </c>
      <c r="B77" s="3">
        <v>0</v>
      </c>
      <c r="C77" s="3"/>
      <c r="D77" s="2">
        <f t="shared" si="0"/>
        <v>0</v>
      </c>
    </row>
    <row r="78" spans="1:8" s="22" customFormat="1" ht="15" thickBot="1" x14ac:dyDescent="0.35">
      <c r="A78" s="19" t="s">
        <v>78</v>
      </c>
      <c r="B78" s="20">
        <f>SUM(B73:B77)</f>
        <v>130</v>
      </c>
      <c r="C78" s="20">
        <f>SUM(C73:C77)</f>
        <v>200</v>
      </c>
      <c r="D78" s="21">
        <f>SUM(D73:D77)</f>
        <v>70</v>
      </c>
      <c r="F78" s="11" t="s">
        <v>12</v>
      </c>
      <c r="G78" s="11"/>
      <c r="H78" s="11"/>
    </row>
    <row r="79" spans="1:8" x14ac:dyDescent="0.3">
      <c r="A79" s="14" t="s">
        <v>79</v>
      </c>
    </row>
    <row r="80" spans="1:8" x14ac:dyDescent="0.3">
      <c r="A80" s="6" t="s">
        <v>80</v>
      </c>
      <c r="B80" s="3">
        <v>0</v>
      </c>
      <c r="C80" s="3"/>
      <c r="D80" s="2">
        <f t="shared" si="0"/>
        <v>0</v>
      </c>
    </row>
    <row r="81" spans="1:8" ht="15" thickBot="1" x14ac:dyDescent="0.35">
      <c r="A81" s="6" t="s">
        <v>81</v>
      </c>
      <c r="B81" s="3">
        <v>0</v>
      </c>
      <c r="C81" s="3"/>
      <c r="D81" s="2">
        <f t="shared" si="0"/>
        <v>0</v>
      </c>
    </row>
    <row r="82" spans="1:8" s="22" customFormat="1" ht="15" thickBot="1" x14ac:dyDescent="0.35">
      <c r="A82" s="19" t="s">
        <v>82</v>
      </c>
      <c r="B82" s="20">
        <f>SUM(B80:B81)</f>
        <v>0</v>
      </c>
      <c r="C82" s="20">
        <f>SUM(C80:C81)</f>
        <v>0</v>
      </c>
      <c r="D82" s="21">
        <f>SUM(D80:D81)</f>
        <v>0</v>
      </c>
      <c r="F82" s="11" t="s">
        <v>12</v>
      </c>
      <c r="G82" s="11"/>
      <c r="H82" s="11"/>
    </row>
    <row r="83" spans="1:8" x14ac:dyDescent="0.3">
      <c r="A83" s="14" t="s">
        <v>83</v>
      </c>
      <c r="B83" s="12"/>
      <c r="C83" s="12"/>
      <c r="D83" s="13"/>
    </row>
    <row r="84" spans="1:8" x14ac:dyDescent="0.3">
      <c r="A84" s="6" t="s">
        <v>84</v>
      </c>
      <c r="B84" s="3">
        <v>50</v>
      </c>
      <c r="C84" s="3">
        <v>50</v>
      </c>
      <c r="D84" s="2">
        <f t="shared" si="0"/>
        <v>0</v>
      </c>
    </row>
    <row r="85" spans="1:8" x14ac:dyDescent="0.3">
      <c r="A85" s="6" t="s">
        <v>85</v>
      </c>
      <c r="B85" s="3">
        <v>0</v>
      </c>
      <c r="C85" s="3"/>
      <c r="D85" s="2">
        <f t="shared" si="0"/>
        <v>0</v>
      </c>
    </row>
    <row r="86" spans="1:8" x14ac:dyDescent="0.3">
      <c r="A86" s="6" t="s">
        <v>86</v>
      </c>
      <c r="B86" s="3">
        <v>0</v>
      </c>
      <c r="C86" s="3"/>
      <c r="D86" s="2">
        <f t="shared" si="0"/>
        <v>0</v>
      </c>
    </row>
    <row r="87" spans="1:8" x14ac:dyDescent="0.3">
      <c r="A87" s="6" t="s">
        <v>87</v>
      </c>
      <c r="B87" s="3">
        <v>0</v>
      </c>
      <c r="C87" s="3"/>
      <c r="D87" s="2">
        <f t="shared" si="0"/>
        <v>0</v>
      </c>
    </row>
    <row r="88" spans="1:8" x14ac:dyDescent="0.3">
      <c r="A88" s="6" t="s">
        <v>88</v>
      </c>
      <c r="B88" s="3">
        <v>0</v>
      </c>
      <c r="C88" s="3"/>
      <c r="D88" s="2">
        <f t="shared" si="0"/>
        <v>0</v>
      </c>
    </row>
    <row r="89" spans="1:8" ht="15" thickBot="1" x14ac:dyDescent="0.35">
      <c r="A89" s="6" t="s">
        <v>88</v>
      </c>
      <c r="B89" s="3">
        <v>0</v>
      </c>
      <c r="C89" s="3"/>
      <c r="D89" s="2">
        <f t="shared" si="0"/>
        <v>0</v>
      </c>
    </row>
    <row r="90" spans="1:8" s="22" customFormat="1" ht="15" thickBot="1" x14ac:dyDescent="0.35">
      <c r="A90" s="19" t="s">
        <v>89</v>
      </c>
      <c r="B90" s="20">
        <f>SUM(B84:B89)</f>
        <v>50</v>
      </c>
      <c r="C90" s="20">
        <f>SUM(C84:C89)</f>
        <v>50</v>
      </c>
      <c r="D90" s="21">
        <f>SUM(D84:D89)</f>
        <v>0</v>
      </c>
      <c r="F90" s="11" t="s">
        <v>12</v>
      </c>
      <c r="G90" s="11"/>
      <c r="H90" s="11"/>
    </row>
    <row r="91" spans="1:8" x14ac:dyDescent="0.3">
      <c r="A91" s="14" t="s">
        <v>90</v>
      </c>
      <c r="B91" s="12"/>
      <c r="C91" s="12"/>
      <c r="D91" s="13"/>
    </row>
    <row r="92" spans="1:8" x14ac:dyDescent="0.3">
      <c r="A92" s="6" t="s">
        <v>91</v>
      </c>
      <c r="B92" s="3">
        <v>0</v>
      </c>
      <c r="C92" s="3"/>
      <c r="D92" s="2">
        <f t="shared" si="0"/>
        <v>0</v>
      </c>
    </row>
    <row r="93" spans="1:8" x14ac:dyDescent="0.3">
      <c r="A93" s="6" t="s">
        <v>92</v>
      </c>
      <c r="B93" s="3">
        <v>100</v>
      </c>
      <c r="C93" s="3">
        <v>168.6</v>
      </c>
      <c r="D93" s="2">
        <f t="shared" si="0"/>
        <v>68.599999999999994</v>
      </c>
    </row>
    <row r="94" spans="1:8" ht="15" thickBot="1" x14ac:dyDescent="0.35">
      <c r="A94" s="6" t="s">
        <v>93</v>
      </c>
      <c r="B94" s="3">
        <v>0</v>
      </c>
      <c r="C94" s="3"/>
      <c r="D94" s="2">
        <f t="shared" si="0"/>
        <v>0</v>
      </c>
    </row>
    <row r="95" spans="1:8" s="22" customFormat="1" ht="15" thickBot="1" x14ac:dyDescent="0.35">
      <c r="A95" s="19" t="s">
        <v>94</v>
      </c>
      <c r="B95" s="20">
        <f>SUM(B92:B94)</f>
        <v>100</v>
      </c>
      <c r="C95" s="20">
        <f>SUM(C92:C94)</f>
        <v>168.6</v>
      </c>
      <c r="D95" s="21">
        <f>SUM(D92:D94)</f>
        <v>68.599999999999994</v>
      </c>
      <c r="F95" s="11" t="s">
        <v>12</v>
      </c>
      <c r="G95" s="11"/>
      <c r="H95" s="11"/>
    </row>
    <row r="96" spans="1:8" x14ac:dyDescent="0.3">
      <c r="A96" s="14" t="s">
        <v>95</v>
      </c>
      <c r="B96" s="12"/>
      <c r="C96" s="12"/>
      <c r="D96" s="13"/>
    </row>
    <row r="97" spans="1:8" x14ac:dyDescent="0.3">
      <c r="A97" s="6" t="s">
        <v>96</v>
      </c>
      <c r="B97" s="3">
        <v>100</v>
      </c>
      <c r="C97" s="3">
        <v>75</v>
      </c>
      <c r="D97" s="2">
        <f>C97-B97</f>
        <v>-25</v>
      </c>
    </row>
    <row r="98" spans="1:8" ht="15" thickBot="1" x14ac:dyDescent="0.35">
      <c r="A98" s="6" t="s">
        <v>97</v>
      </c>
      <c r="B98" s="3">
        <v>40</v>
      </c>
      <c r="C98" s="3">
        <v>60</v>
      </c>
      <c r="D98" s="2">
        <f t="shared" si="0"/>
        <v>20</v>
      </c>
    </row>
    <row r="99" spans="1:8" s="22" customFormat="1" ht="15" thickBot="1" x14ac:dyDescent="0.35">
      <c r="A99" s="19" t="s">
        <v>98</v>
      </c>
      <c r="B99" s="20">
        <f>SUM(B97:B98)</f>
        <v>140</v>
      </c>
      <c r="C99" s="20">
        <f>SUM(C97:C98)</f>
        <v>135</v>
      </c>
      <c r="D99" s="21">
        <f>SUM(D97:D98)</f>
        <v>-5</v>
      </c>
      <c r="F99" s="11" t="s">
        <v>12</v>
      </c>
      <c r="G99" s="11"/>
      <c r="H99" s="11"/>
    </row>
    <row r="100" spans="1:8" x14ac:dyDescent="0.3">
      <c r="A100" s="14" t="s">
        <v>99</v>
      </c>
      <c r="B100" s="12"/>
      <c r="C100" s="12"/>
      <c r="D100" s="13"/>
    </row>
    <row r="101" spans="1:8" x14ac:dyDescent="0.3">
      <c r="A101" s="6" t="s">
        <v>100</v>
      </c>
      <c r="B101" s="3">
        <v>0</v>
      </c>
      <c r="C101" s="3"/>
      <c r="D101" s="2">
        <f>C101-B101</f>
        <v>0</v>
      </c>
    </row>
    <row r="102" spans="1:8" x14ac:dyDescent="0.3">
      <c r="A102" s="6" t="s">
        <v>101</v>
      </c>
      <c r="B102" s="3">
        <v>0</v>
      </c>
      <c r="C102" s="3"/>
      <c r="D102" s="2">
        <f>C102-B102</f>
        <v>0</v>
      </c>
    </row>
    <row r="103" spans="1:8" ht="15" thickBot="1" x14ac:dyDescent="0.35">
      <c r="A103" s="6" t="s">
        <v>102</v>
      </c>
      <c r="B103" s="3">
        <v>0</v>
      </c>
      <c r="C103" s="3"/>
      <c r="D103" s="2">
        <f>C103-B103</f>
        <v>0</v>
      </c>
    </row>
    <row r="104" spans="1:8" s="22" customFormat="1" ht="15" thickBot="1" x14ac:dyDescent="0.35">
      <c r="A104" s="19" t="s">
        <v>103</v>
      </c>
      <c r="B104" s="20">
        <f>SUM(B101:B103)</f>
        <v>0</v>
      </c>
      <c r="C104" s="20">
        <f>SUM(C101:C103)</f>
        <v>0</v>
      </c>
      <c r="D104" s="21">
        <f>SUM(D101:D103)</f>
        <v>0</v>
      </c>
      <c r="F104" s="11" t="s">
        <v>12</v>
      </c>
      <c r="G104" s="11"/>
      <c r="H104" s="11"/>
    </row>
    <row r="105" spans="1:8" x14ac:dyDescent="0.3">
      <c r="A105" s="14" t="s">
        <v>104</v>
      </c>
      <c r="B105" s="12"/>
      <c r="C105" s="12"/>
      <c r="D105" s="13"/>
    </row>
    <row r="106" spans="1:8" x14ac:dyDescent="0.3">
      <c r="A106" s="6" t="s">
        <v>105</v>
      </c>
      <c r="B106" s="3">
        <v>0</v>
      </c>
      <c r="C106" s="3"/>
      <c r="D106" s="2">
        <f t="shared" ref="D106:D109" si="3">C106-B106</f>
        <v>0</v>
      </c>
    </row>
    <row r="107" spans="1:8" x14ac:dyDescent="0.3">
      <c r="A107" s="6" t="s">
        <v>106</v>
      </c>
      <c r="B107" s="3">
        <v>0</v>
      </c>
      <c r="C107" s="3"/>
      <c r="D107" s="2">
        <f t="shared" si="3"/>
        <v>0</v>
      </c>
    </row>
    <row r="108" spans="1:8" x14ac:dyDescent="0.3">
      <c r="A108" s="6" t="s">
        <v>107</v>
      </c>
      <c r="B108" s="3">
        <v>0</v>
      </c>
      <c r="C108" s="3"/>
      <c r="D108" s="2">
        <f t="shared" si="3"/>
        <v>0</v>
      </c>
    </row>
    <row r="109" spans="1:8" ht="15" thickBot="1" x14ac:dyDescent="0.35">
      <c r="A109" s="6" t="s">
        <v>108</v>
      </c>
      <c r="B109" s="3">
        <v>0</v>
      </c>
      <c r="C109" s="3"/>
      <c r="D109" s="2">
        <f t="shared" si="3"/>
        <v>0</v>
      </c>
    </row>
    <row r="110" spans="1:8" s="22" customFormat="1" ht="15" thickBot="1" x14ac:dyDescent="0.35">
      <c r="A110" s="19" t="s">
        <v>109</v>
      </c>
      <c r="B110" s="20">
        <f>SUM(B106:B109)</f>
        <v>0</v>
      </c>
      <c r="C110" s="20">
        <f>SUM(C106:C109)</f>
        <v>0</v>
      </c>
      <c r="D110" s="21">
        <f>SUM(D106:D109)</f>
        <v>0</v>
      </c>
      <c r="F110" s="11" t="s">
        <v>12</v>
      </c>
      <c r="G110" s="11"/>
      <c r="H110" s="11"/>
    </row>
    <row r="111" spans="1:8" x14ac:dyDescent="0.3">
      <c r="A111" s="14" t="s">
        <v>110</v>
      </c>
      <c r="B111" s="12"/>
      <c r="C111" s="12"/>
      <c r="D111" s="13"/>
    </row>
    <row r="112" spans="1:8" x14ac:dyDescent="0.3">
      <c r="A112" s="6" t="s">
        <v>111</v>
      </c>
      <c r="B112" s="3">
        <v>0</v>
      </c>
      <c r="C112" s="3"/>
      <c r="D112" s="2">
        <f t="shared" si="0"/>
        <v>0</v>
      </c>
    </row>
    <row r="113" spans="1:8" x14ac:dyDescent="0.3">
      <c r="A113" s="6" t="s">
        <v>112</v>
      </c>
      <c r="B113" s="3">
        <v>0</v>
      </c>
      <c r="C113" s="3"/>
      <c r="D113" s="2">
        <f t="shared" si="0"/>
        <v>0</v>
      </c>
    </row>
    <row r="114" spans="1:8" x14ac:dyDescent="0.3">
      <c r="A114" s="6" t="s">
        <v>113</v>
      </c>
      <c r="B114" s="3">
        <v>0</v>
      </c>
      <c r="C114" s="3"/>
      <c r="D114" s="2">
        <f t="shared" si="0"/>
        <v>0</v>
      </c>
    </row>
    <row r="115" spans="1:8" x14ac:dyDescent="0.3">
      <c r="A115" s="6" t="s">
        <v>114</v>
      </c>
      <c r="B115" s="3"/>
      <c r="C115" s="3"/>
      <c r="D115" s="2">
        <f t="shared" si="0"/>
        <v>0</v>
      </c>
    </row>
    <row r="116" spans="1:8" ht="15" thickBot="1" x14ac:dyDescent="0.35">
      <c r="A116" s="6" t="s">
        <v>115</v>
      </c>
      <c r="B116" s="3">
        <v>100</v>
      </c>
      <c r="C116" s="3">
        <v>100</v>
      </c>
      <c r="D116" s="2">
        <f t="shared" si="0"/>
        <v>0</v>
      </c>
    </row>
    <row r="117" spans="1:8" s="22" customFormat="1" ht="15" thickBot="1" x14ac:dyDescent="0.35">
      <c r="A117" s="19" t="s">
        <v>116</v>
      </c>
      <c r="B117" s="20">
        <f>SUM(B112:B116)</f>
        <v>100</v>
      </c>
      <c r="C117" s="20">
        <f>SUM(C112:C116)</f>
        <v>100</v>
      </c>
      <c r="D117" s="21">
        <f>SUM(D112:D116)</f>
        <v>0</v>
      </c>
      <c r="F117" s="11" t="s">
        <v>12</v>
      </c>
      <c r="G117" s="11"/>
      <c r="H117" s="11"/>
    </row>
    <row r="118" spans="1:8" x14ac:dyDescent="0.3">
      <c r="A118" s="14" t="s">
        <v>117</v>
      </c>
      <c r="B118" s="12"/>
      <c r="C118" s="12"/>
      <c r="D118" s="13"/>
    </row>
    <row r="119" spans="1:8" x14ac:dyDescent="0.3">
      <c r="A119" s="6" t="s">
        <v>118</v>
      </c>
      <c r="B119" s="3">
        <v>0</v>
      </c>
      <c r="C119" s="3"/>
      <c r="D119" s="2">
        <f t="shared" si="0"/>
        <v>0</v>
      </c>
    </row>
    <row r="120" spans="1:8" x14ac:dyDescent="0.3">
      <c r="A120" s="6" t="s">
        <v>119</v>
      </c>
      <c r="B120" s="3">
        <v>0</v>
      </c>
      <c r="C120" s="3"/>
      <c r="D120" s="2">
        <f t="shared" si="0"/>
        <v>0</v>
      </c>
    </row>
    <row r="121" spans="1:8" ht="15" thickBot="1" x14ac:dyDescent="0.35">
      <c r="A121" s="6" t="s">
        <v>120</v>
      </c>
      <c r="B121" s="3">
        <v>0</v>
      </c>
      <c r="C121" s="3"/>
      <c r="D121" s="2">
        <f t="shared" si="0"/>
        <v>0</v>
      </c>
    </row>
    <row r="122" spans="1:8" s="22" customFormat="1" ht="15" thickBot="1" x14ac:dyDescent="0.35">
      <c r="A122" s="19" t="s">
        <v>121</v>
      </c>
      <c r="B122" s="20">
        <v>0</v>
      </c>
      <c r="C122" s="20">
        <f>SUM(C119:C121)</f>
        <v>0</v>
      </c>
      <c r="D122" s="20">
        <f>SUM(D119:D121)</f>
        <v>0</v>
      </c>
      <c r="F122" s="11" t="s">
        <v>12</v>
      </c>
      <c r="G122" s="11"/>
      <c r="H122" s="11"/>
    </row>
    <row r="123" spans="1:8" x14ac:dyDescent="0.3">
      <c r="A123" s="14" t="s">
        <v>122</v>
      </c>
      <c r="B123" s="12"/>
      <c r="C123" s="12"/>
      <c r="D123" s="13"/>
    </row>
    <row r="124" spans="1:8" x14ac:dyDescent="0.3">
      <c r="A124" s="6" t="s">
        <v>123</v>
      </c>
      <c r="B124" s="3">
        <v>50</v>
      </c>
      <c r="C124" s="3">
        <v>60</v>
      </c>
      <c r="D124" s="2">
        <f>C124-B124</f>
        <v>10</v>
      </c>
    </row>
    <row r="125" spans="1:8" x14ac:dyDescent="0.3">
      <c r="A125" s="6" t="s">
        <v>124</v>
      </c>
      <c r="B125" s="3">
        <v>15</v>
      </c>
      <c r="C125" s="3"/>
      <c r="D125" s="2">
        <f t="shared" ref="D125:D127" si="4">C125-B125</f>
        <v>-15</v>
      </c>
    </row>
    <row r="126" spans="1:8" x14ac:dyDescent="0.3">
      <c r="A126" s="6" t="s">
        <v>125</v>
      </c>
      <c r="B126" s="3">
        <v>100</v>
      </c>
      <c r="C126" s="3">
        <v>174</v>
      </c>
      <c r="D126" s="2">
        <f t="shared" si="4"/>
        <v>74</v>
      </c>
    </row>
    <row r="127" spans="1:8" ht="15" thickBot="1" x14ac:dyDescent="0.35">
      <c r="A127" s="6" t="s">
        <v>126</v>
      </c>
      <c r="B127" s="3">
        <v>0</v>
      </c>
      <c r="C127" s="3"/>
      <c r="D127" s="2">
        <f t="shared" si="4"/>
        <v>0</v>
      </c>
    </row>
    <row r="128" spans="1:8" s="22" customFormat="1" ht="15" thickBot="1" x14ac:dyDescent="0.35">
      <c r="A128" s="19" t="s">
        <v>127</v>
      </c>
      <c r="B128" s="20">
        <f>SUM(B124:B127)</f>
        <v>165</v>
      </c>
      <c r="C128" s="20">
        <f>SUM(C124:C127)</f>
        <v>234</v>
      </c>
      <c r="D128" s="20">
        <f>SUM(D124:D127)</f>
        <v>69</v>
      </c>
      <c r="F128" s="11" t="s">
        <v>12</v>
      </c>
      <c r="G128" s="11"/>
      <c r="H128" s="11"/>
    </row>
    <row r="131" spans="1:6" s="11" customFormat="1" x14ac:dyDescent="0.3">
      <c r="A131" s="9" t="s">
        <v>128</v>
      </c>
      <c r="B131" s="10">
        <f>B21+B25+B34+B43+B49+B58+B65+B71+B78+B82+B90+B95+B99+B104+B110+B117+B122+B128</f>
        <v>2500</v>
      </c>
      <c r="C131" s="10">
        <f>C21+C25+C34+C43+C49+C58+C65+C71+C78+C82+C90+C95+C99+C104+C110+C117+C122+C128</f>
        <v>2803.2599999999998</v>
      </c>
      <c r="D131" s="10">
        <f>D21+D25+D34+D43+D49+D58+D65+D71+D78+D82+D90+D95+D99+D104+D110+D117+D122+D128</f>
        <v>303.26</v>
      </c>
      <c r="F131" s="1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vs Actual</vt:lpstr>
    </vt:vector>
  </TitlesOfParts>
  <Manager/>
  <Company>New Mexico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Groves</dc:creator>
  <cp:keywords/>
  <dc:description/>
  <cp:lastModifiedBy>Kevin Morales</cp:lastModifiedBy>
  <cp:revision/>
  <cp:lastPrinted>2025-10-12T21:05:10Z</cp:lastPrinted>
  <dcterms:created xsi:type="dcterms:W3CDTF">2015-01-20T20:05:56Z</dcterms:created>
  <dcterms:modified xsi:type="dcterms:W3CDTF">2025-10-12T21:05:38Z</dcterms:modified>
  <cp:category/>
  <cp:contentStatus/>
</cp:coreProperties>
</file>